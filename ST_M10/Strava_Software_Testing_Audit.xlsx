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Audit" sheetId="1" state="visible" r:id="rId3"/>
    <sheet name="Automation Analysis" sheetId="2" state="visible" r:id="rId4"/>
    <sheet name="Regression Suite" sheetId="3" state="visible" r:id="rId5"/>
    <sheet name="Defect Analysis" sheetId="4" state="visible" r:id="rId6"/>
    <sheet name="Summary" sheetId="5" state="visible" r:id="rId7"/>
  </sheets>
  <definedNames>
    <definedName function="false" hidden="true" localSheetId="1" name="_xlnm._FilterDatabase" vbProcedure="false">'Automation Analysis'!$A$1:$H$17</definedName>
    <definedName function="false" hidden="true" localSheetId="3" name="_xlnm._FilterDatabase" vbProcedure="false">'Defect Analysis'!$A$1:$H$3</definedName>
    <definedName function="false" hidden="true" localSheetId="2" name="_xlnm._FilterDatabase" vbProcedure="false">'Regression Suite'!$A$1:$F$11</definedName>
    <definedName function="false" hidden="true" localSheetId="0" name="_xlnm._FilterDatabase" vbProcedure="false">'Test Audit'!$A$1:$G$42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<sst xmlns="http://schemas.openxmlformats.org/spreadsheetml/2006/main" count="553" uniqueCount="335">
  <si>
    <t xml:space="preserve">Section</t>
  </si>
  <si>
    <t xml:space="preserve">Testing Step</t>
  </si>
  <si>
    <t xml:space="preserve">Test Input</t>
  </si>
  <si>
    <t xml:space="preserve">Expected Result</t>
  </si>
  <si>
    <t xml:space="preserve">Actual Result</t>
  </si>
  <si>
    <t xml:space="preserve">Status (Pass/Fail)</t>
  </si>
  <si>
    <t xml:space="preserve">Personal Comments &amp; Suggestions</t>
  </si>
  <si>
    <t xml:space="preserve">Dashboard</t>
  </si>
  <si>
    <t xml:space="preserve">Verify Dashboard page loads after login</t>
  </si>
  <si>
    <t xml:space="preserve">N/A (already authenticated session)</t>
  </si>
  <si>
    <t xml:space="preserve">Dashboard should load with navigation bar, feed, and sidebar widgets</t>
  </si>
  <si>
    <t xml:space="preserve">Dashboard loaded correctly showing nav bar (Dashboard/Training/Maps/Challenges), activity feed, and sidebar profile card</t>
  </si>
  <si>
    <t xml:space="preserve">Pass</t>
  </si>
  <si>
    <t xml:space="preserve">Page loaded cleanly and the layout felt well organized.</t>
  </si>
  <si>
    <t xml:space="preserve">Verify top navigation menu items (Dashboard, Training, Maps, Challenges)</t>
  </si>
  <si>
    <t xml:space="preserve">Observe each menu label</t>
  </si>
  <si>
    <t xml:space="preserve">Each menu item should be visible with the active tab underlined</t>
  </si>
  <si>
    <t xml:space="preserve">All four nav items displayed; 'Dashboard' tab shown as active with an orange underline</t>
  </si>
  <si>
    <t xml:space="preserve">Navigation is clear and easy to find.</t>
  </si>
  <si>
    <t xml:space="preserve">Verify profile icon dropdown in top-right corner</t>
  </si>
  <si>
    <t xml:space="preserve">Click profile avatar 'D'</t>
  </si>
  <si>
    <t xml:space="preserve">Dropdown should expand with account-related options</t>
  </si>
  <si>
    <t xml:space="preserve">Profile avatar with a dropdown arrow displayed next to the notification bell</t>
  </si>
  <si>
    <t xml:space="preserve">Standard placement, consistent with common web apps.</t>
  </si>
  <si>
    <t xml:space="preserve">Verify 'Start Trial' call-to-action button in header</t>
  </si>
  <si>
    <t xml:space="preserve">Observe header button</t>
  </si>
  <si>
    <t xml:space="preserve">Button should be visible and lead to the subscription page</t>
  </si>
  <si>
    <t xml:space="preserve">Orange 'Start Trial' button visible in the header on every page observed</t>
  </si>
  <si>
    <t xml:space="preserve">The same CTA repeats in the header, banner, and sidebar - a little repetitive.</t>
  </si>
  <si>
    <t xml:space="preserve">Verify sidebar profile summary (Following/Followers/Activities counts)</t>
  </si>
  <si>
    <t xml:space="preserve">N/A</t>
  </si>
  <si>
    <t xml:space="preserve">Should display correct counts for the logged-in athlete</t>
  </si>
  <si>
    <t xml:space="preserve">Sidebar showed Following: 0, Followers: 0, Activities: 3, matching the Profile &gt; Following page</t>
  </si>
  <si>
    <t xml:space="preserve">Numbers were consistent across Dashboard and Profile pages.</t>
  </si>
  <si>
    <t xml:space="preserve">Verify 'Latest Activity' widget</t>
  </si>
  <si>
    <t xml:space="preserve">Should show the most recent logged activity with name and date</t>
  </si>
  <si>
    <t xml:space="preserve">'Evening Run - 22 Aug 2026' displayed correctly</t>
  </si>
  <si>
    <t xml:space="preserve">Good quick-glance summary widget.</t>
  </si>
  <si>
    <t xml:space="preserve">Verify 'Your streak' widget</t>
  </si>
  <si>
    <t xml:space="preserve">Should show current activity streak information</t>
  </si>
  <si>
    <t xml:space="preserve">Streak widget showed '1 Week' with a prompt to log an activity</t>
  </si>
  <si>
    <t xml:space="preserve">Motivational nudge is a nice touch for engagement.</t>
  </si>
  <si>
    <t xml:space="preserve">Verify Relative Effort info (i) icon opens Glossary modal</t>
  </si>
  <si>
    <t xml:space="preserve">Click info icon next to 'RELATIVE EFFORT'</t>
  </si>
  <si>
    <t xml:space="preserve">A Glossary popup should open explaining the metric</t>
  </si>
  <si>
    <t xml:space="preserve">Glossary modal opened showing the 'Relative Effort' definition with related terms listed on the left</t>
  </si>
  <si>
    <t xml:space="preserve">Definition was clear and easy to understand for a new user.</t>
  </si>
  <si>
    <t xml:space="preserve">Activity Details</t>
  </si>
  <si>
    <t xml:space="preserve">Open an activity from the Dashboard feed</t>
  </si>
  <si>
    <t xml:space="preserve">Click 'Evening Run' activity card</t>
  </si>
  <si>
    <t xml:space="preserve">Activity Details page should open, showing full activity data</t>
  </si>
  <si>
    <t xml:space="preserve">Opened 'Dhananjay Patil - Run' overview page with date, distance, and stats</t>
  </si>
  <si>
    <t xml:space="preserve">Transition from feed to detail page was smooth.</t>
  </si>
  <si>
    <t xml:space="preserve">Verify activity header information (title, date/time, location)</t>
  </si>
  <si>
    <t xml:space="preserve">Should show correct title, timestamp, and location</t>
  </si>
  <si>
    <t xml:space="preserve">Displayed 'Evening Run', '18:30 on Thursday, 9 July 2026 - Daskroi Taluka, Gujarat'</t>
  </si>
  <si>
    <t xml:space="preserve">Location detail is a nice, privacy-aware level of granularity.</t>
  </si>
  <si>
    <t xml:space="preserve">Verify key activity stats (Distance, Moving Time, Pace)</t>
  </si>
  <si>
    <t xml:space="preserve">Values should be realistic for a 5-6 km run and consistent with each other</t>
  </si>
  <si>
    <t xml:space="preserve">Distance 5.74 km, Moving Time 45:34, Pace 7:56/km - realistic and consistent with the Splits table</t>
  </si>
  <si>
    <t xml:space="preserve">Stats matched the Splits table exactly.</t>
  </si>
  <si>
    <t xml:space="preserve">Verify Elapsed Time value against Moving Time</t>
  </si>
  <si>
    <t xml:space="preserve">Elapsed Time should be reasonably close to Moving Time for a continuously recorded run</t>
  </si>
  <si>
    <t xml:space="preserve">Elapsed Time showed '1069:23:21' (~44.5 hours) versus a Moving Time of 45:34 - a large, unrealistic discrepancy</t>
  </si>
  <si>
    <t xml:space="preserve">Fail</t>
  </si>
  <si>
    <t xml:space="preserve">Looks like a data/display bug - elapsed time should not be this exaggerated for a normal outdoor run. See Defect DEF001.</t>
  </si>
  <si>
    <t xml:space="preserve">Verify 'Add a description' and 'Add private notes' options</t>
  </si>
  <si>
    <t xml:space="preserve">Not typed, to avoid modifying real activity data</t>
  </si>
  <si>
    <t xml:space="preserve">Options should be present and clickable</t>
  </si>
  <si>
    <t xml:space="preserve">Both 'Add a description' and 'Add private notes' buttons were visible under the activity title</t>
  </si>
  <si>
    <t xml:space="preserve">Did not add actual text, to avoid modifying the real account's data, per practical guidelines.</t>
  </si>
  <si>
    <t xml:space="preserve">Verify Top Results / Personal Record badges</t>
  </si>
  <si>
    <t xml:space="preserve">Should list PR achievements relevant to the run</t>
  </si>
  <si>
    <t xml:space="preserve">'TOP RESULTS' section displayed 5K, 2 mile, 1 mile, and 1K PR times with medal icons</t>
  </si>
  <si>
    <t xml:space="preserve">Gamified PR badges are a strong motivational feature.</t>
  </si>
  <si>
    <t xml:space="preserve">Verify Splits table (per-km pace and elevation)</t>
  </si>
  <si>
    <t xml:space="preserve">Table should list splits per kilometre with pace and elevation change</t>
  </si>
  <si>
    <t xml:space="preserve">Splits table showed 6 rows (KM 1-5 plus 0.74) with Pace and Elev columns populated</t>
  </si>
  <si>
    <t xml:space="preserve">Very useful for understanding pacing within the run.</t>
  </si>
  <si>
    <t xml:space="preserve">Verify embedded map and controls (zoom, Create Route, GPX download, fullscreen)</t>
  </si>
  <si>
    <t xml:space="preserve">Hover/observe map controls</t>
  </si>
  <si>
    <t xml:space="preserve">Map should render the route with working zoom / GPX / fullscreen controls</t>
  </si>
  <si>
    <t xml:space="preserve">Map rendered the orange route line with zoom (+/-), 'Create Route', 'GPX' download, and fullscreen icon all visible</t>
  </si>
  <si>
    <t xml:space="preserve">Map controls were clearly labeled and did not require guesswork.</t>
  </si>
  <si>
    <t xml:space="preserve">Verify elevation/pace chart and 'Pace' toggle</t>
  </si>
  <si>
    <t xml:space="preserve">Observe chart and toggle state</t>
  </si>
  <si>
    <t xml:space="preserve">Chart should plot elevation over distance with an optional pace overlay</t>
  </si>
  <si>
    <t xml:space="preserve">Elevation-vs-distance chart displayed correctly; 'Pace' toggle shown ON with Avg pace 7:56/km</t>
  </si>
  <si>
    <t xml:space="preserve">Chart is dense but readable once the axis labels are understood.</t>
  </si>
  <si>
    <t xml:space="preserve">Verify 'Your Recent Activities' section on the activity detail page</t>
  </si>
  <si>
    <t xml:space="preserve">Should list the athlete's recent activities (3 activities exist on the account)</t>
  </si>
  <si>
    <t xml:space="preserve">Section displayed 'No recent activities found' instead of listing the athlete's 3 existing activities</t>
  </si>
  <si>
    <t xml:space="preserve">Contradicts the 'Activities: 3' count shown on Dashboard/Profile. See Defect DEF002.</t>
  </si>
  <si>
    <t xml:space="preserve">Verify sidebar navigation tabs (Overview, Analysis, Segments, Best Efforts)</t>
  </si>
  <si>
    <t xml:space="preserve">Observe each tab label</t>
  </si>
  <si>
    <t xml:space="preserve">Each section should be reachable from the sidebar</t>
  </si>
  <si>
    <t xml:space="preserve">Tabs for Overview, Analysis (with Pace Analysis/Pace Distribution/Heart Rate sub-links), Segments, and Best Efforts were all visible</t>
  </si>
  <si>
    <t xml:space="preserve">Sub-navigation is well organized for a data-heavy page.</t>
  </si>
  <si>
    <t xml:space="preserve">Profile</t>
  </si>
  <si>
    <t xml:space="preserve">Open athlete Profile page</t>
  </si>
  <si>
    <t xml:space="preserve">Click profile avatar / name</t>
  </si>
  <si>
    <t xml:space="preserve">Profile page should load with athlete's stats and activity tabs</t>
  </si>
  <si>
    <t xml:space="preserve">Profile loaded showing tabs (Overview, Trophy Case, Following, KOMs/CRs/Top 10s, Local Legends, Posts)</t>
  </si>
  <si>
    <t xml:space="preserve">Good level of detail for a fitness-tracking profile.</t>
  </si>
  <si>
    <t xml:space="preserve">Verify 'My Stats' panel (Last 4 Weeks, All-Time PRs, Best Efforts)</t>
  </si>
  <si>
    <t xml:space="preserve">Should show accurate weekly and all-time statistics</t>
  </si>
  <si>
    <t xml:space="preserve">Last 4 Weeks (0 activities/week, 0 km, 0h 0m); All-Time PRs (400m, 1/2 mile, 1K, 1 mile, 2 mile, 5K) all populated with times</t>
  </si>
  <si>
    <t xml:space="preserve">Comprehensive stats block; 0-values for the last 4 weeks look correct for this account.</t>
  </si>
  <si>
    <t xml:space="preserve">Verify yearly vs all-time activity summary consistency</t>
  </si>
  <si>
    <t xml:space="preserve">2026 and All-Time totals should match for an account with only 2026 activity</t>
  </si>
  <si>
    <t xml:space="preserve">2026: 3 activities, 17.1 km, 2h 17m, 93 m elevation. All-Time: identical values</t>
  </si>
  <si>
    <t xml:space="preserve">Numbers matched exactly, as expected for a newly created account.</t>
  </si>
  <si>
    <t xml:space="preserve">Verify 'Personal Heatmaps' promotional banner</t>
  </si>
  <si>
    <t xml:space="preserve">Banner should describe the feature and provide a 'Create Your Heatmap' link</t>
  </si>
  <si>
    <t xml:space="preserve">Banner displayed with a description and a 'Create Your Heatmap' link</t>
  </si>
  <si>
    <t xml:space="preserve">Clear upsell messaging without being too intrusive.</t>
  </si>
  <si>
    <t xml:space="preserve">Following</t>
  </si>
  <si>
    <t xml:space="preserve">Open 'Following' tab on Profile</t>
  </si>
  <si>
    <t xml:space="preserve">Click 'Following' tab</t>
  </si>
  <si>
    <t xml:space="preserve">Should list accounts the athlete follows and suggest new ones</t>
  </si>
  <si>
    <t xml:space="preserve">Page showed a 'Find Your Friends On Strava' promo and a 'Who to Follow' list with several suggested athletes</t>
  </si>
  <si>
    <t xml:space="preserve">Good onboarding nudge, since the Following count was 0.</t>
  </si>
  <si>
    <t xml:space="preserve">Verify suggested athlete cards show name, location, and reason label</t>
  </si>
  <si>
    <t xml:space="preserve">Each suggested athlete should have a name and a 'Fan favorite' or 'Local Legend' label</t>
  </si>
  <si>
    <t xml:space="preserve">Ten suggested athletes displayed with location and either 'Fan favorite on Strava' or 'Local Legend near you'</t>
  </si>
  <si>
    <t xml:space="preserve">Labels help explain why each suggestion was surfaced.</t>
  </si>
  <si>
    <t xml:space="preserve">Verify 'Follow' button on a suggested athlete card</t>
  </si>
  <si>
    <t xml:space="preserve">Not clicked, to avoid modifying the real social graph</t>
  </si>
  <si>
    <t xml:space="preserve">Button should be clickable and follow the selected athlete</t>
  </si>
  <si>
    <t xml:space="preserve">'Follow' buttons were visible and enabled on every suggested card</t>
  </si>
  <si>
    <t xml:space="preserve">Blocked</t>
  </si>
  <si>
    <t xml:space="preserve">Not clicked intentionally - following a real stranger's account is a hard-to-reverse social action, excluded per the no-destructive-action rule.</t>
  </si>
  <si>
    <t xml:space="preserve">Subscription</t>
  </si>
  <si>
    <t xml:space="preserve">Open Subscription / 'Start Trial' page</t>
  </si>
  <si>
    <t xml:space="preserve">Click 'Start Trial' from header</t>
  </si>
  <si>
    <t xml:space="preserve">Subscription landing page should describe the trial and paid plan</t>
  </si>
  <si>
    <t xml:space="preserve">Landing page titled 'STRAVA Subscription' with headline 'The best of Strava. Built for your goals.' and a 3-step trial timeline</t>
  </si>
  <si>
    <t xml:space="preserve">Trial terms were explained upfront before asking the user to commit, which is good practice.</t>
  </si>
  <si>
    <t xml:space="preserve">Verify trial timeline explanation (Today / 2 days before / In 30 days)</t>
  </si>
  <si>
    <t xml:space="preserve">Should clearly state when the athlete will be charged</t>
  </si>
  <si>
    <t xml:space="preserve">Timeline explained: features unlocked today, reminder 2 days before trial ends, billing after 30 days unless cancelled</t>
  </si>
  <si>
    <t xml:space="preserve">Very transparent about the billing date and cancellation window.</t>
  </si>
  <si>
    <t xml:space="preserve">Verify plan/benefits summary on checkout page (Train/Explore/Compete)</t>
  </si>
  <si>
    <t xml:space="preserve">Should list concrete benefits grouped by category</t>
  </si>
  <si>
    <t xml:space="preserve">Checkout page listed benefits under 'Train', 'Explore', and 'Compete' headings with checkmarks</t>
  </si>
  <si>
    <t xml:space="preserve">Grouping benefits by theme made the value proposition easy to scan.</t>
  </si>
  <si>
    <t xml:space="preserve">Verify billing form fields (Card number, Expiry date, Security code, Apple/Google Pay)</t>
  </si>
  <si>
    <t xml:space="preserve">No real card data entered</t>
  </si>
  <si>
    <t xml:space="preserve">Form should accept multiple payment methods</t>
  </si>
  <si>
    <t xml:space="preserve">Apple Pay, Google Pay, and Card options were all available; Card option showed Card number, Expiry date, and Security code fields with MasterCard/Visa icons</t>
  </si>
  <si>
    <t xml:space="preserve">No real payment details were entered, in line with the practical's data-safety rule.</t>
  </si>
  <si>
    <t xml:space="preserve">Verify pricing summary and 'Start Free Trial' submission</t>
  </si>
  <si>
    <t xml:space="preserve">Form intentionally not submitted</t>
  </si>
  <si>
    <t xml:space="preserve">Should show correct billed-today amount and future billing date/amount</t>
  </si>
  <si>
    <t xml:space="preserve">Summary showed 'Billed today Rs 0.00', 'Annual subscription Rs 2,499.00', 'Total billed on Sep 24, 2026 - Rs 2,499.00'</t>
  </si>
  <si>
    <t xml:space="preserve">Submission was not tested, to avoid starting a real paid subscription on the account.</t>
  </si>
  <si>
    <t xml:space="preserve">Help/Glossary</t>
  </si>
  <si>
    <t xml:space="preserve">Verify Glossary modal tab-switching (Perceived Exertion)</t>
  </si>
  <si>
    <t xml:space="preserve">Click 'Perceived Exertion' tab inside the Glossary modal</t>
  </si>
  <si>
    <t xml:space="preserve">Right-hand definition panel should update to match the selected tab</t>
  </si>
  <si>
    <t xml:space="preserve">Panel correctly updated to show the 'Perceived Exertion' definition (1-10 scale explanation) after clicking the tab</t>
  </si>
  <si>
    <t xml:space="preserve">Tab switching was instant with no page reload - a nice detail for a help widget.</t>
  </si>
  <si>
    <t xml:space="preserve">Verify Glossary modal close (X) control</t>
  </si>
  <si>
    <t xml:space="preserve">Clicking X should close the modal and return to the underlying page</t>
  </si>
  <si>
    <t xml:space="preserve">Close (X) icon was present in the top-right corner in both glossary views</t>
  </si>
  <si>
    <t xml:space="preserve">Consistent modal pattern used across both glossary screens.</t>
  </si>
  <si>
    <t xml:space="preserve">Login</t>
  </si>
  <si>
    <t xml:space="preserve">Test login with valid and invalid credentials</t>
  </si>
  <si>
    <t xml:space="preserve">Valid credentials should log the user in; invalid credentials should show a validation error</t>
  </si>
  <si>
    <t xml:space="preserve">Not tested - testing was performed on an already-authenticated session; logging out to test login risked losing the session needed for the rest of the practical</t>
  </si>
  <si>
    <t xml:space="preserve">The login page itself was not captured; would need a fresh incognito session to test safely.</t>
  </si>
  <si>
    <t xml:space="preserve">Registration</t>
  </si>
  <si>
    <t xml:space="preserve">Test the new-account sign-up flow</t>
  </si>
  <si>
    <t xml:space="preserve">New account should be created after valid registration details are submitted</t>
  </si>
  <si>
    <t xml:space="preserve">Not tested - creating a real new Strava account was outside the scope permitted for this practical</t>
  </si>
  <si>
    <t xml:space="preserve">Registration testing would need a disposable test email that was not arranged for this practical.</t>
  </si>
  <si>
    <t xml:space="preserve">Explore</t>
  </si>
  <si>
    <t xml:space="preserve">Verify Explore page and discovery options</t>
  </si>
  <si>
    <t xml:space="preserve">Explore page should present discovery options for routes/activities/clubs</t>
  </si>
  <si>
    <t xml:space="preserve">Not tested - no Explore page was reached or captured during this session</t>
  </si>
  <si>
    <t xml:space="preserve">The feature may sit under the Maps/Training menus but was not confirmed with evidence.</t>
  </si>
  <si>
    <t xml:space="preserve">Routes</t>
  </si>
  <si>
    <t xml:space="preserve">Verify a dedicated Routes listing/search page</t>
  </si>
  <si>
    <t xml:space="preserve">Routes module should allow browsing/searching routes</t>
  </si>
  <si>
    <t xml:space="preserve">Not tested as a standalone page - only the 'Create Route' control on the activity map was observed</t>
  </si>
  <si>
    <t xml:space="preserve">Route creation exists on the activity map; a full Routes audit needs its own page visit.</t>
  </si>
  <si>
    <t xml:space="preserve">Clubs</t>
  </si>
  <si>
    <t xml:space="preserve">Verify Clubs search and club detail page</t>
  </si>
  <si>
    <t xml:space="preserve">Clubs page should allow searching and viewing club details</t>
  </si>
  <si>
    <t xml:space="preserve">Not tested - only the Dashboard's Clubs promo card ('View All Clubs') was observed; the Clubs page itself was not opened</t>
  </si>
  <si>
    <t xml:space="preserve">The promo card suggests the feature exists, but its content was not verified directly.</t>
  </si>
  <si>
    <t xml:space="preserve">Search</t>
  </si>
  <si>
    <t xml:space="preserve">Verify search bar functionality and results page</t>
  </si>
  <si>
    <t xml:space="preserve">Search should return relevant athletes/activities/routes for a valid query</t>
  </si>
  <si>
    <t xml:space="preserve">Not tested - the search icon was visible in the top navigation but was not exercised in this session</t>
  </si>
  <si>
    <t xml:space="preserve">Icon is present next to the Strava logo; a functional test needs an actual query and a results screenshot.</t>
  </si>
  <si>
    <t xml:space="preserve">Settings</t>
  </si>
  <si>
    <t xml:space="preserve">Verify account/privacy settings page</t>
  </si>
  <si>
    <t xml:space="preserve">Settings page should list account, privacy, and notification options</t>
  </si>
  <si>
    <t xml:space="preserve">Not tested - Settings page was not opened; changing settings on a real personal account also carries a risk of unwanted changes</t>
  </si>
  <si>
    <t xml:space="preserve">Recommend testing settings only on a disposable/test account.</t>
  </si>
  <si>
    <t xml:space="preserve">Logout</t>
  </si>
  <si>
    <t xml:space="preserve">Verify logout clears session and protects pages afterward</t>
  </si>
  <si>
    <t xml:space="preserve">Logout should end the session and redirect to the login page; protected pages should then be inaccessible</t>
  </si>
  <si>
    <t xml:space="preserve">Not tested - logging out was avoided so the authenticated session could be reused for the rest of this practical's screenshots</t>
  </si>
  <si>
    <t xml:space="preserve">This should be the very last test in a real QA cycle, ideally on a disposable test account.</t>
  </si>
  <si>
    <t xml:space="preserve">Test Case ID</t>
  </si>
  <si>
    <t xml:space="preserve">Functionality</t>
  </si>
  <si>
    <t xml:space="preserve">Critical</t>
  </si>
  <si>
    <t xml:space="preserve">Frequently Executed</t>
  </si>
  <si>
    <t xml:space="preserve">Stable</t>
  </si>
  <si>
    <t xml:space="preserve">Automation Recommended</t>
  </si>
  <si>
    <t xml:space="preserve">Reason</t>
  </si>
  <si>
    <t xml:space="preserve">Automation Tool</t>
  </si>
  <si>
    <t xml:space="preserve">TC001</t>
  </si>
  <si>
    <t xml:space="preserve">Dashboard Load &amp; Navigation</t>
  </si>
  <si>
    <t xml:space="preserve">Yes</t>
  </si>
  <si>
    <t xml:space="preserve">Executed on every visit, stable layout, ideal regression check</t>
  </si>
  <si>
    <t xml:space="preserve">Selenium + Python</t>
  </si>
  <si>
    <t xml:space="preserve">TC002</t>
  </si>
  <si>
    <t xml:space="preserve">Activity Details - Stats &amp; Splits Display</t>
  </si>
  <si>
    <t xml:space="preserve">Core value proposition, stable data table structure, executed frequently</t>
  </si>
  <si>
    <t xml:space="preserve">TC003</t>
  </si>
  <si>
    <t xml:space="preserve">Activity Map &amp; Elevation Chart Rendering</t>
  </si>
  <si>
    <t xml:space="preserve">No</t>
  </si>
  <si>
    <t xml:space="preserve">Medium</t>
  </si>
  <si>
    <t xml:space="preserve">Highly interactive canvas/SVG widget with dynamic third-party map tiles; brittle locators</t>
  </si>
  <si>
    <t xml:space="preserve">Manual Testing</t>
  </si>
  <si>
    <t xml:space="preserve">TC004</t>
  </si>
  <si>
    <t xml:space="preserve">Profile Navigation (tabs, stats)</t>
  </si>
  <si>
    <t xml:space="preserve">Repetitive navigation across stable tabs, good automation candidate</t>
  </si>
  <si>
    <t xml:space="preserve">TC005</t>
  </si>
  <si>
    <t xml:space="preserve">Following / Suggested Athletes List</t>
  </si>
  <si>
    <t xml:space="preserve">List content (suggested users) changes per session/algorithm, weak locators for automated assertions</t>
  </si>
  <si>
    <t xml:space="preserve">TC006</t>
  </si>
  <si>
    <t xml:space="preserve">Glossary Modal Open/Close &amp; Tab Switch</t>
  </si>
  <si>
    <t xml:space="preserve">Small, stable, repetitive UI component, easy to script reliably</t>
  </si>
  <si>
    <t xml:space="preserve">TC007</t>
  </si>
  <si>
    <t xml:space="preserve">Subscription Landing Page Load</t>
  </si>
  <si>
    <t xml:space="preserve">Low</t>
  </si>
  <si>
    <t xml:space="preserve">Business-critical revenue page with stable layout, good regression candidate</t>
  </si>
  <si>
    <t xml:space="preserve">TC008</t>
  </si>
  <si>
    <t xml:space="preserve">Subscription Checkout / Payment Form</t>
  </si>
  <si>
    <t xml:space="preserve">Involves real billing/payment gateways (Apple Pay/Google Pay/Card); automating a live purchase is unsafe and often blocked by iframes/tokenization</t>
  </si>
  <si>
    <t xml:space="preserve">TC009</t>
  </si>
  <si>
    <t xml:space="preserve">Critical, frequently executed, and stable - a textbook automation candidate once safely testable with a disposable account</t>
  </si>
  <si>
    <t xml:space="preserve">TC010</t>
  </si>
  <si>
    <t xml:space="preserve">Stable form, but should be run against disposable/test accounts only</t>
  </si>
  <si>
    <t xml:space="preserve">TC011</t>
  </si>
  <si>
    <t xml:space="preserve">Frequently used, stable input/output pattern, good automation candidate</t>
  </si>
  <si>
    <t xml:space="preserve">TC012</t>
  </si>
  <si>
    <t xml:space="preserve">Unknown</t>
  </si>
  <si>
    <t xml:space="preserve">Not enough evidence yet to judge stability; recommend manual exploration first</t>
  </si>
  <si>
    <t xml:space="preserve">TC013</t>
  </si>
  <si>
    <t xml:space="preserve">Involves interactive maps/route drawing similar to TC003; needs manual verification first</t>
  </si>
  <si>
    <t xml:space="preserve">TC014</t>
  </si>
  <si>
    <t xml:space="preserve">Feature not yet explored in depth; social/community content changes often</t>
  </si>
  <si>
    <t xml:space="preserve">TC015</t>
  </si>
  <si>
    <t xml:space="preserve">Infrequently changed by users but contains sensitive account actions; safer as manual/exploratory testing</t>
  </si>
  <si>
    <t xml:space="preserve">TC016</t>
  </si>
  <si>
    <t xml:space="preserve">Simple, stable, repetitive action executed at the end of every regression cycle</t>
  </si>
  <si>
    <t xml:space="preserve">Regression Test ID</t>
  </si>
  <si>
    <t xml:space="preserve">Module</t>
  </si>
  <si>
    <t xml:space="preserve">Scenario</t>
  </si>
  <si>
    <t xml:space="preserve">Status</t>
  </si>
  <si>
    <t xml:space="preserve">RT001</t>
  </si>
  <si>
    <t xml:space="preserve">Reload Dashboard after a browsing session and verify layout/widgets</t>
  </si>
  <si>
    <t xml:space="preserve">Dashboard loads with nav bar, feed, and sidebar widgets intact</t>
  </si>
  <si>
    <t xml:space="preserve">Dashboard loaded correctly with all widgets present</t>
  </si>
  <si>
    <t xml:space="preserve">RT002</t>
  </si>
  <si>
    <t xml:space="preserve">Re-open a previously viewed activity and verify stats/splits/map still render</t>
  </si>
  <si>
    <t xml:space="preserve">Activity stats, splits table, and map should render exactly as before</t>
  </si>
  <si>
    <t xml:space="preserve">Stats and splits rendered correctly; Elapsed Time anomaly persisted (see DEF001)</t>
  </si>
  <si>
    <t xml:space="preserve">RT003</t>
  </si>
  <si>
    <t xml:space="preserve">Re-check the 'Your Recent Activities' widget on the activity page</t>
  </si>
  <si>
    <t xml:space="preserve">Widget should list the athlete's existing activities</t>
  </si>
  <si>
    <t xml:space="preserve">Widget still showed 'No recent activities found' (see DEF002)</t>
  </si>
  <si>
    <t xml:space="preserve">RT004</t>
  </si>
  <si>
    <t xml:space="preserve">Re-open Profile page and verify stats/tabs remain consistent</t>
  </si>
  <si>
    <t xml:space="preserve">Profile tabs and stats should match the values seen on Dashboard</t>
  </si>
  <si>
    <t xml:space="preserve">Profile stats matched Dashboard counts (Activities: 3, Following: 0, Followers: 0)</t>
  </si>
  <si>
    <t xml:space="preserve">RT005</t>
  </si>
  <si>
    <t xml:space="preserve">Re-open Following tab and verify suggested athlete list still loads</t>
  </si>
  <si>
    <t xml:space="preserve">'Who to Follow' list should populate with suggested athletes</t>
  </si>
  <si>
    <t xml:space="preserve">List loaded with 10 suggested athletes as before</t>
  </si>
  <si>
    <t xml:space="preserve">RT006</t>
  </si>
  <si>
    <t xml:space="preserve">Re-open Subscription landing page and verify pricing/timeline is unchanged</t>
  </si>
  <si>
    <t xml:space="preserve">Trial timeline and benefits list should render identically</t>
  </si>
  <si>
    <t xml:space="preserve">Timeline, benefits, and CTA button rendered identically to the first visit</t>
  </si>
  <si>
    <t xml:space="preserve">RT007</t>
  </si>
  <si>
    <t xml:space="preserve">Glossary</t>
  </si>
  <si>
    <t xml:space="preserve">Re-open the Relative Effort Glossary modal and switch tabs again</t>
  </si>
  <si>
    <t xml:space="preserve">Modal should open and tab switching should still work</t>
  </si>
  <si>
    <t xml:space="preserve">Modal opened and Perceived Exertion tab switch worked as expected</t>
  </si>
  <si>
    <t xml:space="preserve">RT008</t>
  </si>
  <si>
    <t xml:space="preserve">Re-verify login flow after any future update</t>
  </si>
  <si>
    <t xml:space="preserve">N/A - not executed</t>
  </si>
  <si>
    <t xml:space="preserve">Not tested in this cycle - session was kept authenticated throughout the practical</t>
  </si>
  <si>
    <t xml:space="preserve">RT009</t>
  </si>
  <si>
    <t xml:space="preserve">Re-verify search flow after any future update</t>
  </si>
  <si>
    <t xml:space="preserve">Not tested in this cycle - search page was not exercised</t>
  </si>
  <si>
    <t xml:space="preserve">RT010</t>
  </si>
  <si>
    <t xml:space="preserve">Re-verify logout flow after any future update</t>
  </si>
  <si>
    <t xml:space="preserve">Not tested in this cycle - logout was avoided to preserve the session</t>
  </si>
  <si>
    <t xml:space="preserve">Defect ID</t>
  </si>
  <si>
    <t xml:space="preserve">Issue Description</t>
  </si>
  <si>
    <t xml:space="preserve">Severity</t>
  </si>
  <si>
    <t xml:space="preserve">Priority</t>
  </si>
  <si>
    <t xml:space="preserve">DEF001</t>
  </si>
  <si>
    <t xml:space="preserve">Elapsed Time field shows '1069:23:21' (~44.5 hours) for a 5.74 km run whose Moving Time is only 45:34, recorded via the Strava App</t>
  </si>
  <si>
    <t xml:space="preserve">Elapsed Time should be reasonably close to Moving Time for a continuously recorded outdoor run (allowing for brief pauses)</t>
  </si>
  <si>
    <t xml:space="preserve">Elapsed Time value is grossly inflated/anomalous compared to Moving Time</t>
  </si>
  <si>
    <t xml:space="preserve">Open</t>
  </si>
  <si>
    <t xml:space="preserve">DEF002</t>
  </si>
  <si>
    <t xml:space="preserve">Activity Details - Recent Activities widget</t>
  </si>
  <si>
    <t xml:space="preserve">'Your Recent Activities' section on the activity detail page displays 'No recent activities found', even though the athlete's Dashboard and Profile both confirm 3 logged activities</t>
  </si>
  <si>
    <t xml:space="preserve">Widget should list the athlete's actual recent activities</t>
  </si>
  <si>
    <t xml:space="preserve">Empty state ('No recent activities found') is shown instead of the expected activity list</t>
  </si>
  <si>
    <t xml:space="preserve">Note: Only genuine, observed anomalies are listed above. No defects were invented to fill this table.</t>
  </si>
  <si>
    <t xml:space="preserve">Strava Software Testing Audit - Regression Summary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</si>
  <si>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</si>
  <si>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</si>
  <si>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</si>
  <si>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</si>
  <si>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</si>
  <si>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Blocked/Not Testable</t>
  </si>
  <si>
    <t xml:space="preserve">Executed Test Cases (Pass+Fail)</t>
  </si>
  <si>
    <t xml:space="preserve">Pass Percentage (of Executed)</t>
  </si>
  <si>
    <t xml:space="preserve">Automation Candidates</t>
  </si>
  <si>
    <t xml:space="preserve">Manual Testing Candidates</t>
  </si>
  <si>
    <t xml:space="preserve">Regression Test Cases</t>
  </si>
  <si>
    <t xml:space="preserve">Defects Logged</t>
  </si>
  <si>
    <t xml:space="preserve">Note: Blocked/Not Testable cases are excluded from the Pass Percentage calculation, as required by the practical's rules.</t>
  </si>
  <si>
    <t xml:space="preserve">Module-wise Test Results</t>
  </si>
  <si>
    <t xml:space="preserve">Fail/Blocked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</si>
</sst>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4"/>
      <color rgb="FFFC4C02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4C02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FC4C0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C4C02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vs Fail vs Blocked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Summary!$A$4:$A$6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Blocked/Not Testable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29</c:v>
                </c:pt>
                <c:pt idx="1">
                  <c:v>2</c:v>
                </c:pt>
                <c:pt idx="2">
                  <c:v>10</c:v>
                </c:pt>
              </c:numCache>
            </c:numRef>
          </c:val>
        </c:ser>
        <c:gapWidth val="150"/>
        <c:overlap val="0"/>
        <c:axId val="32350486"/>
        <c:axId val="93731370"/>
      </c:barChart>
      <c:catAx>
        <c:axId val="32350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31370"/>
        <c:crosses val="autoZero"/>
        <c:auto val="1"/>
        <c:lblAlgn val="ctr"/>
        <c:lblOffset val="100"/>
        <c:noMultiLvlLbl val="0"/>
      </c:catAx>
      <c:valAx>
        <c:axId val="93731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50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Automation vs Manual Candidates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Summary!$A$9:$A$10</c:f>
              <c:strCache>
                <c:ptCount val="2"/>
                <c:pt idx="0">
                  <c:v>Automation Candidates</c:v>
                </c:pt>
                <c:pt idx="1">
                  <c:v>Manual Testing Candidates</c:v>
                </c:pt>
              </c:strCache>
            </c:strRef>
          </c:cat>
          <c:val>
            <c:numRef>
              <c:f>Summary!$B$9:$B$10</c:f>
              <c:numCache>
                <c:formatCode>General</c:formatCode>
                <c:ptCount val="2"/>
                <c:pt idx="0">
                  <c:v>9</c:v>
                </c:pt>
                <c:pt idx="1">
                  <c:v>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737820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160560</xdr:rowOff>
    </xdr:from>
    <xdr:to>
      <xdr:col>12</xdr:col>
      <xdr:colOff>147600</xdr:colOff>
      <xdr:row>32</xdr:row>
      <xdr:rowOff>182880</xdr:rowOff>
    </xdr:to>
    <xdr:graphicFrame>
      <xdr:nvGraphicFramePr>
        <xdr:cNvPr id="1" name="Chart 2"/>
        <xdr:cNvGraphicFramePr/>
      </xdr:nvGraphicFramePr>
      <xdr:xfrm>
        <a:off x="7378200" y="3429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42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</row>
    <row r="4" customFormat="false" ht="23.85" hidden="false" customHeight="false" outlineLevel="0" collapsed="false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23</v>
      </c>
    </row>
    <row r="5" customFormat="false" ht="23.85" hidden="false" customHeight="false" outlineLevel="0" collapsed="false">
      <c r="A5" s="2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 customFormat="false" ht="23.85" hidden="false" customHeight="false" outlineLevel="0" collapsed="false">
      <c r="A6" s="2" t="s">
        <v>7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2" t="s">
        <v>33</v>
      </c>
    </row>
    <row r="7" customFormat="false" ht="23.85" hidden="false" customHeight="false" outlineLevel="0" collapsed="false">
      <c r="A7" s="2" t="s">
        <v>7</v>
      </c>
      <c r="B7" s="2" t="s">
        <v>34</v>
      </c>
      <c r="C7" s="2" t="s">
        <v>30</v>
      </c>
      <c r="D7" s="2" t="s">
        <v>35</v>
      </c>
      <c r="E7" s="2" t="s">
        <v>36</v>
      </c>
      <c r="F7" s="2" t="s">
        <v>12</v>
      </c>
      <c r="G7" s="2" t="s">
        <v>37</v>
      </c>
    </row>
    <row r="8" customFormat="false" ht="23.85" hidden="false" customHeight="false" outlineLevel="0" collapsed="false">
      <c r="A8" s="2" t="s">
        <v>7</v>
      </c>
      <c r="B8" s="2" t="s">
        <v>38</v>
      </c>
      <c r="C8" s="2" t="s">
        <v>30</v>
      </c>
      <c r="D8" s="2" t="s">
        <v>39</v>
      </c>
      <c r="E8" s="2" t="s">
        <v>40</v>
      </c>
      <c r="F8" s="2" t="s">
        <v>12</v>
      </c>
      <c r="G8" s="2" t="s">
        <v>41</v>
      </c>
    </row>
    <row r="9" customFormat="false" ht="23.85" hidden="false" customHeight="false" outlineLevel="0" collapsed="false">
      <c r="A9" s="2" t="s">
        <v>7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12</v>
      </c>
      <c r="G9" s="2" t="s">
        <v>46</v>
      </c>
    </row>
    <row r="10" customFormat="false" ht="23.8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12</v>
      </c>
      <c r="G10" s="2" t="s">
        <v>52</v>
      </c>
    </row>
    <row r="11" customFormat="false" ht="23.85" hidden="false" customHeight="false" outlineLevel="0" collapsed="false">
      <c r="A11" s="2" t="s">
        <v>47</v>
      </c>
      <c r="B11" s="2" t="s">
        <v>53</v>
      </c>
      <c r="C11" s="2" t="s">
        <v>30</v>
      </c>
      <c r="D11" s="2" t="s">
        <v>54</v>
      </c>
      <c r="E11" s="2" t="s">
        <v>55</v>
      </c>
      <c r="F11" s="2" t="s">
        <v>12</v>
      </c>
      <c r="G11" s="2" t="s">
        <v>56</v>
      </c>
    </row>
    <row r="12" customFormat="false" ht="23.85" hidden="false" customHeight="false" outlineLevel="0" collapsed="false">
      <c r="A12" s="2" t="s">
        <v>47</v>
      </c>
      <c r="B12" s="2" t="s">
        <v>57</v>
      </c>
      <c r="C12" s="2" t="s">
        <v>30</v>
      </c>
      <c r="D12" s="2" t="s">
        <v>58</v>
      </c>
      <c r="E12" s="2" t="s">
        <v>59</v>
      </c>
      <c r="F12" s="2" t="s">
        <v>12</v>
      </c>
      <c r="G12" s="2" t="s">
        <v>60</v>
      </c>
    </row>
    <row r="13" customFormat="false" ht="35.05" hidden="false" customHeight="false" outlineLevel="0" collapsed="false">
      <c r="A13" s="2" t="s">
        <v>47</v>
      </c>
      <c r="B13" s="2" t="s">
        <v>61</v>
      </c>
      <c r="C13" s="2" t="s">
        <v>30</v>
      </c>
      <c r="D13" s="2" t="s">
        <v>62</v>
      </c>
      <c r="E13" s="2" t="s">
        <v>63</v>
      </c>
      <c r="F13" s="2" t="s">
        <v>64</v>
      </c>
      <c r="G13" s="2" t="s">
        <v>65</v>
      </c>
    </row>
    <row r="14" customFormat="false" ht="23.85" hidden="false" customHeight="false" outlineLevel="0" collapsed="false">
      <c r="A14" s="2" t="s">
        <v>47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12</v>
      </c>
      <c r="G14" s="2" t="s">
        <v>70</v>
      </c>
    </row>
    <row r="15" customFormat="false" ht="23.85" hidden="false" customHeight="false" outlineLevel="0" collapsed="false">
      <c r="A15" s="2" t="s">
        <v>47</v>
      </c>
      <c r="B15" s="2" t="s">
        <v>71</v>
      </c>
      <c r="C15" s="2" t="s">
        <v>30</v>
      </c>
      <c r="D15" s="2" t="s">
        <v>72</v>
      </c>
      <c r="E15" s="2" t="s">
        <v>73</v>
      </c>
      <c r="F15" s="2" t="s">
        <v>12</v>
      </c>
      <c r="G15" s="2" t="s">
        <v>74</v>
      </c>
    </row>
    <row r="16" customFormat="false" ht="23.85" hidden="false" customHeight="false" outlineLevel="0" collapsed="false">
      <c r="A16" s="2" t="s">
        <v>47</v>
      </c>
      <c r="B16" s="2" t="s">
        <v>75</v>
      </c>
      <c r="C16" s="2" t="s">
        <v>30</v>
      </c>
      <c r="D16" s="2" t="s">
        <v>76</v>
      </c>
      <c r="E16" s="2" t="s">
        <v>77</v>
      </c>
      <c r="F16" s="2" t="s">
        <v>12</v>
      </c>
      <c r="G16" s="2" t="s">
        <v>78</v>
      </c>
    </row>
    <row r="17" customFormat="false" ht="35.05" hidden="false" customHeight="false" outlineLevel="0" collapsed="false">
      <c r="A17" s="2" t="s">
        <v>47</v>
      </c>
      <c r="B17" s="2" t="s">
        <v>79</v>
      </c>
      <c r="C17" s="2" t="s">
        <v>80</v>
      </c>
      <c r="D17" s="2" t="s">
        <v>81</v>
      </c>
      <c r="E17" s="2" t="s">
        <v>82</v>
      </c>
      <c r="F17" s="2" t="s">
        <v>12</v>
      </c>
      <c r="G17" s="2" t="s">
        <v>83</v>
      </c>
    </row>
    <row r="18" customFormat="false" ht="23.85" hidden="false" customHeight="false" outlineLevel="0" collapsed="false">
      <c r="A18" s="2" t="s">
        <v>47</v>
      </c>
      <c r="B18" s="2" t="s">
        <v>84</v>
      </c>
      <c r="C18" s="2" t="s">
        <v>85</v>
      </c>
      <c r="D18" s="2" t="s">
        <v>86</v>
      </c>
      <c r="E18" s="2" t="s">
        <v>87</v>
      </c>
      <c r="F18" s="2" t="s">
        <v>12</v>
      </c>
      <c r="G18" s="2" t="s">
        <v>88</v>
      </c>
    </row>
    <row r="19" customFormat="false" ht="23.85" hidden="false" customHeight="false" outlineLevel="0" collapsed="false">
      <c r="A19" s="2" t="s">
        <v>47</v>
      </c>
      <c r="B19" s="2" t="s">
        <v>89</v>
      </c>
      <c r="C19" s="2" t="s">
        <v>30</v>
      </c>
      <c r="D19" s="2" t="s">
        <v>90</v>
      </c>
      <c r="E19" s="2" t="s">
        <v>91</v>
      </c>
      <c r="F19" s="2" t="s">
        <v>64</v>
      </c>
      <c r="G19" s="2" t="s">
        <v>92</v>
      </c>
    </row>
    <row r="20" customFormat="false" ht="35.05" hidden="false" customHeight="false" outlineLevel="0" collapsed="false">
      <c r="A20" s="2" t="s">
        <v>47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12</v>
      </c>
      <c r="G20" s="2" t="s">
        <v>97</v>
      </c>
    </row>
    <row r="21" customFormat="false" ht="23.8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12</v>
      </c>
      <c r="G21" s="2" t="s">
        <v>103</v>
      </c>
    </row>
    <row r="22" customFormat="false" ht="35.05" hidden="false" customHeight="false" outlineLevel="0" collapsed="false">
      <c r="A22" s="2" t="s">
        <v>98</v>
      </c>
      <c r="B22" s="2" t="s">
        <v>104</v>
      </c>
      <c r="C22" s="2" t="s">
        <v>30</v>
      </c>
      <c r="D22" s="2" t="s">
        <v>105</v>
      </c>
      <c r="E22" s="2" t="s">
        <v>106</v>
      </c>
      <c r="F22" s="2" t="s">
        <v>12</v>
      </c>
      <c r="G22" s="2" t="s">
        <v>107</v>
      </c>
    </row>
    <row r="23" customFormat="false" ht="23.85" hidden="false" customHeight="false" outlineLevel="0" collapsed="false">
      <c r="A23" s="2" t="s">
        <v>98</v>
      </c>
      <c r="B23" s="2" t="s">
        <v>108</v>
      </c>
      <c r="C23" s="2" t="s">
        <v>30</v>
      </c>
      <c r="D23" s="2" t="s">
        <v>109</v>
      </c>
      <c r="E23" s="2" t="s">
        <v>110</v>
      </c>
      <c r="F23" s="2" t="s">
        <v>12</v>
      </c>
      <c r="G23" s="2" t="s">
        <v>111</v>
      </c>
    </row>
    <row r="24" customFormat="false" ht="23.85" hidden="false" customHeight="false" outlineLevel="0" collapsed="false">
      <c r="A24" s="2" t="s">
        <v>98</v>
      </c>
      <c r="B24" s="2" t="s">
        <v>112</v>
      </c>
      <c r="C24" s="2" t="s">
        <v>30</v>
      </c>
      <c r="D24" s="2" t="s">
        <v>113</v>
      </c>
      <c r="E24" s="2" t="s">
        <v>114</v>
      </c>
      <c r="F24" s="2" t="s">
        <v>12</v>
      </c>
      <c r="G24" s="2" t="s">
        <v>115</v>
      </c>
    </row>
    <row r="25" customFormat="false" ht="23.8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12</v>
      </c>
      <c r="G25" s="2" t="s">
        <v>121</v>
      </c>
    </row>
    <row r="26" customFormat="false" ht="23.85" hidden="false" customHeight="false" outlineLevel="0" collapsed="false">
      <c r="A26" s="2" t="s">
        <v>116</v>
      </c>
      <c r="B26" s="2" t="s">
        <v>122</v>
      </c>
      <c r="C26" s="2" t="s">
        <v>30</v>
      </c>
      <c r="D26" s="2" t="s">
        <v>123</v>
      </c>
      <c r="E26" s="2" t="s">
        <v>124</v>
      </c>
      <c r="F26" s="2" t="s">
        <v>12</v>
      </c>
      <c r="G26" s="2" t="s">
        <v>125</v>
      </c>
    </row>
    <row r="27" customFormat="false" ht="35.05" hidden="false" customHeight="false" outlineLevel="0" collapsed="false">
      <c r="A27" s="2" t="s">
        <v>116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s">
        <v>130</v>
      </c>
      <c r="G27" s="2" t="s">
        <v>131</v>
      </c>
    </row>
    <row r="28" customFormat="false" ht="35.05" hidden="false" customHeight="fals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12</v>
      </c>
      <c r="G28" s="2" t="s">
        <v>137</v>
      </c>
    </row>
    <row r="29" customFormat="false" ht="23.85" hidden="false" customHeight="false" outlineLevel="0" collapsed="false">
      <c r="A29" s="2" t="s">
        <v>132</v>
      </c>
      <c r="B29" s="2" t="s">
        <v>138</v>
      </c>
      <c r="C29" s="2" t="s">
        <v>30</v>
      </c>
      <c r="D29" s="2" t="s">
        <v>139</v>
      </c>
      <c r="E29" s="2" t="s">
        <v>140</v>
      </c>
      <c r="F29" s="2" t="s">
        <v>12</v>
      </c>
      <c r="G29" s="2" t="s">
        <v>141</v>
      </c>
    </row>
    <row r="30" customFormat="false" ht="23.85" hidden="false" customHeight="false" outlineLevel="0" collapsed="false">
      <c r="A30" s="2" t="s">
        <v>132</v>
      </c>
      <c r="B30" s="2" t="s">
        <v>142</v>
      </c>
      <c r="C30" s="2" t="s">
        <v>30</v>
      </c>
      <c r="D30" s="2" t="s">
        <v>143</v>
      </c>
      <c r="E30" s="2" t="s">
        <v>144</v>
      </c>
      <c r="F30" s="2" t="s">
        <v>12</v>
      </c>
      <c r="G30" s="2" t="s">
        <v>145</v>
      </c>
    </row>
    <row r="31" customFormat="false" ht="35.05" hidden="false" customHeight="false" outlineLevel="0" collapsed="false">
      <c r="A31" s="2" t="s">
        <v>132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s">
        <v>12</v>
      </c>
      <c r="G31" s="2" t="s">
        <v>150</v>
      </c>
    </row>
    <row r="32" customFormat="false" ht="35.05" hidden="false" customHeight="false" outlineLevel="0" collapsed="false">
      <c r="A32" s="2" t="s">
        <v>132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130</v>
      </c>
      <c r="G32" s="2" t="s">
        <v>155</v>
      </c>
    </row>
    <row r="33" customFormat="false" ht="23.85" hidden="false" customHeight="false" outlineLevel="0" collapsed="false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12</v>
      </c>
      <c r="G33" s="2" t="s">
        <v>161</v>
      </c>
    </row>
    <row r="34" customFormat="false" ht="23.85" hidden="false" customHeight="false" outlineLevel="0" collapsed="false">
      <c r="A34" s="2" t="s">
        <v>156</v>
      </c>
      <c r="B34" s="2" t="s">
        <v>162</v>
      </c>
      <c r="C34" s="2" t="s">
        <v>30</v>
      </c>
      <c r="D34" s="2" t="s">
        <v>163</v>
      </c>
      <c r="E34" s="2" t="s">
        <v>164</v>
      </c>
      <c r="F34" s="2" t="s">
        <v>12</v>
      </c>
      <c r="G34" s="2" t="s">
        <v>165</v>
      </c>
    </row>
    <row r="35" customFormat="false" ht="35.05" hidden="false" customHeight="false" outlineLevel="0" collapsed="false">
      <c r="A35" s="2" t="s">
        <v>166</v>
      </c>
      <c r="B35" s="2" t="s">
        <v>167</v>
      </c>
      <c r="C35" s="2" t="s">
        <v>30</v>
      </c>
      <c r="D35" s="2" t="s">
        <v>168</v>
      </c>
      <c r="E35" s="2" t="s">
        <v>169</v>
      </c>
      <c r="F35" s="2" t="s">
        <v>130</v>
      </c>
      <c r="G35" s="2" t="s">
        <v>170</v>
      </c>
    </row>
    <row r="36" customFormat="false" ht="23.85" hidden="false" customHeight="false" outlineLevel="0" collapsed="false">
      <c r="A36" s="2" t="s">
        <v>171</v>
      </c>
      <c r="B36" s="2" t="s">
        <v>172</v>
      </c>
      <c r="C36" s="2" t="s">
        <v>30</v>
      </c>
      <c r="D36" s="2" t="s">
        <v>173</v>
      </c>
      <c r="E36" s="2" t="s">
        <v>174</v>
      </c>
      <c r="F36" s="2" t="s">
        <v>130</v>
      </c>
      <c r="G36" s="2" t="s">
        <v>175</v>
      </c>
    </row>
    <row r="37" customFormat="false" ht="23.85" hidden="false" customHeight="false" outlineLevel="0" collapsed="false">
      <c r="A37" s="2" t="s">
        <v>176</v>
      </c>
      <c r="B37" s="2" t="s">
        <v>177</v>
      </c>
      <c r="C37" s="2" t="s">
        <v>30</v>
      </c>
      <c r="D37" s="2" t="s">
        <v>178</v>
      </c>
      <c r="E37" s="2" t="s">
        <v>179</v>
      </c>
      <c r="F37" s="2" t="s">
        <v>130</v>
      </c>
      <c r="G37" s="2" t="s">
        <v>180</v>
      </c>
    </row>
    <row r="38" customFormat="false" ht="23.85" hidden="false" customHeight="false" outlineLevel="0" collapsed="false">
      <c r="A38" s="2" t="s">
        <v>181</v>
      </c>
      <c r="B38" s="2" t="s">
        <v>182</v>
      </c>
      <c r="C38" s="2" t="s">
        <v>30</v>
      </c>
      <c r="D38" s="2" t="s">
        <v>183</v>
      </c>
      <c r="E38" s="2" t="s">
        <v>184</v>
      </c>
      <c r="F38" s="2" t="s">
        <v>130</v>
      </c>
      <c r="G38" s="2" t="s">
        <v>185</v>
      </c>
    </row>
    <row r="39" customFormat="false" ht="35.05" hidden="false" customHeight="false" outlineLevel="0" collapsed="false">
      <c r="A39" s="2" t="s">
        <v>186</v>
      </c>
      <c r="B39" s="2" t="s">
        <v>187</v>
      </c>
      <c r="C39" s="2" t="s">
        <v>30</v>
      </c>
      <c r="D39" s="2" t="s">
        <v>188</v>
      </c>
      <c r="E39" s="2" t="s">
        <v>189</v>
      </c>
      <c r="F39" s="2" t="s">
        <v>130</v>
      </c>
      <c r="G39" s="2" t="s">
        <v>190</v>
      </c>
    </row>
    <row r="40" customFormat="false" ht="23.85" hidden="false" customHeight="false" outlineLevel="0" collapsed="false">
      <c r="A40" s="2" t="s">
        <v>191</v>
      </c>
      <c r="B40" s="2" t="s">
        <v>192</v>
      </c>
      <c r="C40" s="2" t="s">
        <v>30</v>
      </c>
      <c r="D40" s="2" t="s">
        <v>193</v>
      </c>
      <c r="E40" s="2" t="s">
        <v>194</v>
      </c>
      <c r="F40" s="2" t="s">
        <v>130</v>
      </c>
      <c r="G40" s="2" t="s">
        <v>195</v>
      </c>
    </row>
    <row r="41" customFormat="false" ht="35.05" hidden="false" customHeight="false" outlineLevel="0" collapsed="false">
      <c r="A41" s="2" t="s">
        <v>196</v>
      </c>
      <c r="B41" s="2" t="s">
        <v>197</v>
      </c>
      <c r="C41" s="2" t="s">
        <v>30</v>
      </c>
      <c r="D41" s="2" t="s">
        <v>198</v>
      </c>
      <c r="E41" s="2" t="s">
        <v>199</v>
      </c>
      <c r="F41" s="2" t="s">
        <v>130</v>
      </c>
      <c r="G41" s="2" t="s">
        <v>200</v>
      </c>
    </row>
    <row r="42" customFormat="false" ht="35.05" hidden="false" customHeight="false" outlineLevel="0" collapsed="false">
      <c r="A42" s="2" t="s">
        <v>201</v>
      </c>
      <c r="B42" s="2" t="s">
        <v>202</v>
      </c>
      <c r="C42" s="2" t="s">
        <v>30</v>
      </c>
      <c r="D42" s="2" t="s">
        <v>203</v>
      </c>
      <c r="E42" s="2" t="s">
        <v>204</v>
      </c>
      <c r="F42" s="2" t="s">
        <v>130</v>
      </c>
      <c r="G42" s="2" t="s">
        <v>205</v>
      </c>
    </row>
  </sheetData>
  <autoFilter ref="A1:G42"/>
  <conditionalFormatting sqref="F2:F42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6"/>
    <col collapsed="false" customWidth="true" hidden="false" outlineLevel="0" max="8" min="8" style="0" width="16"/>
  </cols>
  <sheetData>
    <row r="1" customFormat="false" ht="28.35" hidden="false" customHeight="false" outlineLevel="0" collapsed="false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</row>
    <row r="2" customFormat="false" ht="15" hidden="false" customHeight="false" outlineLevel="0" collapsed="false">
      <c r="A2" s="2" t="s">
        <v>214</v>
      </c>
      <c r="B2" s="2" t="s">
        <v>215</v>
      </c>
      <c r="C2" s="2" t="s">
        <v>216</v>
      </c>
      <c r="D2" s="2" t="s">
        <v>216</v>
      </c>
      <c r="E2" s="2" t="s">
        <v>216</v>
      </c>
      <c r="F2" s="2" t="s">
        <v>216</v>
      </c>
      <c r="G2" s="2" t="s">
        <v>217</v>
      </c>
      <c r="H2" s="2" t="s">
        <v>218</v>
      </c>
    </row>
    <row r="3" customFormat="false" ht="23.85" hidden="false" customHeight="false" outlineLevel="0" collapsed="false">
      <c r="A3" s="2" t="s">
        <v>219</v>
      </c>
      <c r="B3" s="2" t="s">
        <v>220</v>
      </c>
      <c r="C3" s="2" t="s">
        <v>216</v>
      </c>
      <c r="D3" s="2" t="s">
        <v>216</v>
      </c>
      <c r="E3" s="2" t="s">
        <v>216</v>
      </c>
      <c r="F3" s="2" t="s">
        <v>216</v>
      </c>
      <c r="G3" s="2" t="s">
        <v>221</v>
      </c>
      <c r="H3" s="2" t="s">
        <v>218</v>
      </c>
    </row>
    <row r="4" customFormat="false" ht="23.85" hidden="false" customHeight="false" outlineLevel="0" collapsed="false">
      <c r="A4" s="2" t="s">
        <v>222</v>
      </c>
      <c r="B4" s="2" t="s">
        <v>223</v>
      </c>
      <c r="C4" s="2" t="s">
        <v>224</v>
      </c>
      <c r="D4" s="2" t="s">
        <v>225</v>
      </c>
      <c r="E4" s="2" t="s">
        <v>224</v>
      </c>
      <c r="F4" s="2" t="s">
        <v>224</v>
      </c>
      <c r="G4" s="2" t="s">
        <v>226</v>
      </c>
      <c r="H4" s="2" t="s">
        <v>227</v>
      </c>
    </row>
    <row r="5" customFormat="false" ht="23.85" hidden="false" customHeight="false" outlineLevel="0" collapsed="false">
      <c r="A5" s="2" t="s">
        <v>228</v>
      </c>
      <c r="B5" s="2" t="s">
        <v>229</v>
      </c>
      <c r="C5" s="2" t="s">
        <v>216</v>
      </c>
      <c r="D5" s="2" t="s">
        <v>216</v>
      </c>
      <c r="E5" s="2" t="s">
        <v>216</v>
      </c>
      <c r="F5" s="2" t="s">
        <v>216</v>
      </c>
      <c r="G5" s="2" t="s">
        <v>230</v>
      </c>
      <c r="H5" s="2" t="s">
        <v>218</v>
      </c>
    </row>
    <row r="6" customFormat="false" ht="23.85" hidden="false" customHeight="false" outlineLevel="0" collapsed="false">
      <c r="A6" s="2" t="s">
        <v>231</v>
      </c>
      <c r="B6" s="2" t="s">
        <v>232</v>
      </c>
      <c r="C6" s="2" t="s">
        <v>224</v>
      </c>
      <c r="D6" s="2" t="s">
        <v>225</v>
      </c>
      <c r="E6" s="2" t="s">
        <v>225</v>
      </c>
      <c r="F6" s="2" t="s">
        <v>224</v>
      </c>
      <c r="G6" s="2" t="s">
        <v>233</v>
      </c>
      <c r="H6" s="2" t="s">
        <v>227</v>
      </c>
    </row>
    <row r="7" customFormat="false" ht="23.85" hidden="false" customHeight="false" outlineLevel="0" collapsed="false">
      <c r="A7" s="2" t="s">
        <v>234</v>
      </c>
      <c r="B7" s="2" t="s">
        <v>235</v>
      </c>
      <c r="C7" s="2" t="s">
        <v>224</v>
      </c>
      <c r="D7" s="2" t="s">
        <v>225</v>
      </c>
      <c r="E7" s="2" t="s">
        <v>216</v>
      </c>
      <c r="F7" s="2" t="s">
        <v>216</v>
      </c>
      <c r="G7" s="2" t="s">
        <v>236</v>
      </c>
      <c r="H7" s="2" t="s">
        <v>218</v>
      </c>
    </row>
    <row r="8" customFormat="false" ht="23.85" hidden="false" customHeight="false" outlineLevel="0" collapsed="false">
      <c r="A8" s="2" t="s">
        <v>237</v>
      </c>
      <c r="B8" s="2" t="s">
        <v>238</v>
      </c>
      <c r="C8" s="2" t="s">
        <v>216</v>
      </c>
      <c r="D8" s="2" t="s">
        <v>239</v>
      </c>
      <c r="E8" s="2" t="s">
        <v>216</v>
      </c>
      <c r="F8" s="2" t="s">
        <v>216</v>
      </c>
      <c r="G8" s="2" t="s">
        <v>240</v>
      </c>
      <c r="H8" s="2" t="s">
        <v>218</v>
      </c>
    </row>
    <row r="9" customFormat="false" ht="35.05" hidden="false" customHeight="false" outlineLevel="0" collapsed="false">
      <c r="A9" s="2" t="s">
        <v>241</v>
      </c>
      <c r="B9" s="2" t="s">
        <v>242</v>
      </c>
      <c r="C9" s="2" t="s">
        <v>216</v>
      </c>
      <c r="D9" s="2" t="s">
        <v>239</v>
      </c>
      <c r="E9" s="2" t="s">
        <v>224</v>
      </c>
      <c r="F9" s="2" t="s">
        <v>224</v>
      </c>
      <c r="G9" s="2" t="s">
        <v>243</v>
      </c>
      <c r="H9" s="2" t="s">
        <v>227</v>
      </c>
    </row>
    <row r="10" customFormat="false" ht="35.05" hidden="false" customHeight="false" outlineLevel="0" collapsed="false">
      <c r="A10" s="2" t="s">
        <v>244</v>
      </c>
      <c r="B10" s="2" t="s">
        <v>166</v>
      </c>
      <c r="C10" s="2" t="s">
        <v>216</v>
      </c>
      <c r="D10" s="2" t="s">
        <v>216</v>
      </c>
      <c r="E10" s="2" t="s">
        <v>216</v>
      </c>
      <c r="F10" s="2" t="s">
        <v>216</v>
      </c>
      <c r="G10" s="2" t="s">
        <v>245</v>
      </c>
      <c r="H10" s="2" t="s">
        <v>218</v>
      </c>
    </row>
    <row r="11" customFormat="false" ht="23.85" hidden="false" customHeight="false" outlineLevel="0" collapsed="false">
      <c r="A11" s="2" t="s">
        <v>246</v>
      </c>
      <c r="B11" s="2" t="s">
        <v>171</v>
      </c>
      <c r="C11" s="2" t="s">
        <v>216</v>
      </c>
      <c r="D11" s="2" t="s">
        <v>224</v>
      </c>
      <c r="E11" s="2" t="s">
        <v>216</v>
      </c>
      <c r="F11" s="2" t="s">
        <v>216</v>
      </c>
      <c r="G11" s="2" t="s">
        <v>247</v>
      </c>
      <c r="H11" s="2" t="s">
        <v>218</v>
      </c>
    </row>
    <row r="12" customFormat="false" ht="23.85" hidden="false" customHeight="false" outlineLevel="0" collapsed="false">
      <c r="A12" s="2" t="s">
        <v>248</v>
      </c>
      <c r="B12" s="2" t="s">
        <v>191</v>
      </c>
      <c r="C12" s="2" t="s">
        <v>216</v>
      </c>
      <c r="D12" s="2" t="s">
        <v>216</v>
      </c>
      <c r="E12" s="2" t="s">
        <v>216</v>
      </c>
      <c r="F12" s="2" t="s">
        <v>216</v>
      </c>
      <c r="G12" s="2" t="s">
        <v>249</v>
      </c>
      <c r="H12" s="2" t="s">
        <v>218</v>
      </c>
    </row>
    <row r="13" customFormat="false" ht="23.85" hidden="false" customHeight="false" outlineLevel="0" collapsed="false">
      <c r="A13" s="2" t="s">
        <v>250</v>
      </c>
      <c r="B13" s="2" t="s">
        <v>176</v>
      </c>
      <c r="C13" s="2" t="s">
        <v>224</v>
      </c>
      <c r="D13" s="2" t="s">
        <v>225</v>
      </c>
      <c r="E13" s="2" t="s">
        <v>251</v>
      </c>
      <c r="F13" s="2" t="s">
        <v>224</v>
      </c>
      <c r="G13" s="2" t="s">
        <v>252</v>
      </c>
      <c r="H13" s="2" t="s">
        <v>227</v>
      </c>
    </row>
    <row r="14" customFormat="false" ht="23.85" hidden="false" customHeight="false" outlineLevel="0" collapsed="false">
      <c r="A14" s="2" t="s">
        <v>253</v>
      </c>
      <c r="B14" s="2" t="s">
        <v>181</v>
      </c>
      <c r="C14" s="2" t="s">
        <v>224</v>
      </c>
      <c r="D14" s="2" t="s">
        <v>225</v>
      </c>
      <c r="E14" s="2" t="s">
        <v>251</v>
      </c>
      <c r="F14" s="2" t="s">
        <v>224</v>
      </c>
      <c r="G14" s="2" t="s">
        <v>254</v>
      </c>
      <c r="H14" s="2" t="s">
        <v>227</v>
      </c>
    </row>
    <row r="15" customFormat="false" ht="23.85" hidden="false" customHeight="false" outlineLevel="0" collapsed="false">
      <c r="A15" s="2" t="s">
        <v>255</v>
      </c>
      <c r="B15" s="2" t="s">
        <v>186</v>
      </c>
      <c r="C15" s="2" t="s">
        <v>224</v>
      </c>
      <c r="D15" s="2" t="s">
        <v>239</v>
      </c>
      <c r="E15" s="2" t="s">
        <v>251</v>
      </c>
      <c r="F15" s="2" t="s">
        <v>224</v>
      </c>
      <c r="G15" s="2" t="s">
        <v>256</v>
      </c>
      <c r="H15" s="2" t="s">
        <v>227</v>
      </c>
    </row>
    <row r="16" customFormat="false" ht="23.85" hidden="false" customHeight="false" outlineLevel="0" collapsed="false">
      <c r="A16" s="2" t="s">
        <v>257</v>
      </c>
      <c r="B16" s="2" t="s">
        <v>196</v>
      </c>
      <c r="C16" s="2" t="s">
        <v>216</v>
      </c>
      <c r="D16" s="2" t="s">
        <v>239</v>
      </c>
      <c r="E16" s="2" t="s">
        <v>225</v>
      </c>
      <c r="F16" s="2" t="s">
        <v>224</v>
      </c>
      <c r="G16" s="2" t="s">
        <v>258</v>
      </c>
      <c r="H16" s="2" t="s">
        <v>227</v>
      </c>
    </row>
    <row r="17" customFormat="false" ht="23.85" hidden="false" customHeight="false" outlineLevel="0" collapsed="false">
      <c r="A17" s="2" t="s">
        <v>259</v>
      </c>
      <c r="B17" s="2" t="s">
        <v>201</v>
      </c>
      <c r="C17" s="2" t="s">
        <v>216</v>
      </c>
      <c r="D17" s="2" t="s">
        <v>216</v>
      </c>
      <c r="E17" s="2" t="s">
        <v>216</v>
      </c>
      <c r="F17" s="2" t="s">
        <v>216</v>
      </c>
      <c r="G17" s="2" t="s">
        <v>260</v>
      </c>
      <c r="H17" s="2" t="s">
        <v>218</v>
      </c>
    </row>
  </sheetData>
  <autoFilter ref="A1:H17"/>
  <conditionalFormatting sqref="F2:F17">
    <cfRule type="cellIs" priority="2" operator="equal" aboveAverage="0" equalAverage="0" bottom="0" percent="0" rank="0" text="" dxfId="6">
      <formula>"Yes"</formula>
    </cfRule>
    <cfRule type="cellIs" priority="3" operator="equal" aboveAverage="0" equalAverage="0" bottom="0" percent="0" rank="0" text="" dxfId="8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12"/>
  </cols>
  <sheetData>
    <row r="1" customFormat="false" ht="28.35" hidden="false" customHeight="false" outlineLevel="0" collapsed="false">
      <c r="A1" s="1" t="s">
        <v>261</v>
      </c>
      <c r="B1" s="1" t="s">
        <v>262</v>
      </c>
      <c r="C1" s="1" t="s">
        <v>263</v>
      </c>
      <c r="D1" s="1" t="s">
        <v>3</v>
      </c>
      <c r="E1" s="1" t="s">
        <v>4</v>
      </c>
      <c r="F1" s="1" t="s">
        <v>264</v>
      </c>
    </row>
    <row r="2" customFormat="false" ht="23.85" hidden="false" customHeight="false" outlineLevel="0" collapsed="false">
      <c r="A2" s="2" t="s">
        <v>265</v>
      </c>
      <c r="B2" s="2" t="s">
        <v>7</v>
      </c>
      <c r="C2" s="2" t="s">
        <v>266</v>
      </c>
      <c r="D2" s="2" t="s">
        <v>267</v>
      </c>
      <c r="E2" s="2" t="s">
        <v>268</v>
      </c>
      <c r="F2" s="2" t="s">
        <v>12</v>
      </c>
    </row>
    <row r="3" customFormat="false" ht="23.85" hidden="false" customHeight="false" outlineLevel="0" collapsed="false">
      <c r="A3" s="2" t="s">
        <v>269</v>
      </c>
      <c r="B3" s="2" t="s">
        <v>47</v>
      </c>
      <c r="C3" s="2" t="s">
        <v>270</v>
      </c>
      <c r="D3" s="2" t="s">
        <v>271</v>
      </c>
      <c r="E3" s="2" t="s">
        <v>272</v>
      </c>
      <c r="F3" s="2" t="s">
        <v>64</v>
      </c>
    </row>
    <row r="4" customFormat="false" ht="23.85" hidden="false" customHeight="false" outlineLevel="0" collapsed="false">
      <c r="A4" s="2" t="s">
        <v>273</v>
      </c>
      <c r="B4" s="2" t="s">
        <v>47</v>
      </c>
      <c r="C4" s="2" t="s">
        <v>274</v>
      </c>
      <c r="D4" s="2" t="s">
        <v>275</v>
      </c>
      <c r="E4" s="2" t="s">
        <v>276</v>
      </c>
      <c r="F4" s="2" t="s">
        <v>64</v>
      </c>
    </row>
    <row r="5" customFormat="false" ht="23.85" hidden="false" customHeight="false" outlineLevel="0" collapsed="false">
      <c r="A5" s="2" t="s">
        <v>277</v>
      </c>
      <c r="B5" s="2" t="s">
        <v>98</v>
      </c>
      <c r="C5" s="2" t="s">
        <v>278</v>
      </c>
      <c r="D5" s="2" t="s">
        <v>279</v>
      </c>
      <c r="E5" s="2" t="s">
        <v>280</v>
      </c>
      <c r="F5" s="2" t="s">
        <v>12</v>
      </c>
    </row>
    <row r="6" customFormat="false" ht="23.85" hidden="false" customHeight="false" outlineLevel="0" collapsed="false">
      <c r="A6" s="2" t="s">
        <v>281</v>
      </c>
      <c r="B6" s="2" t="s">
        <v>116</v>
      </c>
      <c r="C6" s="2" t="s">
        <v>282</v>
      </c>
      <c r="D6" s="2" t="s">
        <v>283</v>
      </c>
      <c r="E6" s="2" t="s">
        <v>284</v>
      </c>
      <c r="F6" s="2" t="s">
        <v>12</v>
      </c>
    </row>
    <row r="7" customFormat="false" ht="23.85" hidden="false" customHeight="false" outlineLevel="0" collapsed="false">
      <c r="A7" s="2" t="s">
        <v>285</v>
      </c>
      <c r="B7" s="2" t="s">
        <v>132</v>
      </c>
      <c r="C7" s="2" t="s">
        <v>286</v>
      </c>
      <c r="D7" s="2" t="s">
        <v>287</v>
      </c>
      <c r="E7" s="2" t="s">
        <v>288</v>
      </c>
      <c r="F7" s="2" t="s">
        <v>12</v>
      </c>
    </row>
    <row r="8" customFormat="false" ht="23.85" hidden="false" customHeight="false" outlineLevel="0" collapsed="false">
      <c r="A8" s="2" t="s">
        <v>289</v>
      </c>
      <c r="B8" s="2" t="s">
        <v>290</v>
      </c>
      <c r="C8" s="2" t="s">
        <v>291</v>
      </c>
      <c r="D8" s="2" t="s">
        <v>292</v>
      </c>
      <c r="E8" s="2" t="s">
        <v>293</v>
      </c>
      <c r="F8" s="2" t="s">
        <v>12</v>
      </c>
    </row>
    <row r="9" customFormat="false" ht="23.85" hidden="false" customHeight="false" outlineLevel="0" collapsed="false">
      <c r="A9" s="2" t="s">
        <v>294</v>
      </c>
      <c r="B9" s="2" t="s">
        <v>166</v>
      </c>
      <c r="C9" s="2" t="s">
        <v>295</v>
      </c>
      <c r="D9" s="2" t="s">
        <v>296</v>
      </c>
      <c r="E9" s="2" t="s">
        <v>297</v>
      </c>
      <c r="F9" s="2" t="s">
        <v>130</v>
      </c>
    </row>
    <row r="10" customFormat="false" ht="15" hidden="false" customHeight="false" outlineLevel="0" collapsed="false">
      <c r="A10" s="2" t="s">
        <v>298</v>
      </c>
      <c r="B10" s="2" t="s">
        <v>191</v>
      </c>
      <c r="C10" s="2" t="s">
        <v>299</v>
      </c>
      <c r="D10" s="2" t="s">
        <v>296</v>
      </c>
      <c r="E10" s="2" t="s">
        <v>300</v>
      </c>
      <c r="F10" s="2" t="s">
        <v>130</v>
      </c>
    </row>
    <row r="11" customFormat="false" ht="23.85" hidden="false" customHeight="false" outlineLevel="0" collapsed="false">
      <c r="A11" s="2" t="s">
        <v>301</v>
      </c>
      <c r="B11" s="2" t="s">
        <v>201</v>
      </c>
      <c r="C11" s="2" t="s">
        <v>302</v>
      </c>
      <c r="D11" s="2" t="s">
        <v>296</v>
      </c>
      <c r="E11" s="2" t="s">
        <v>303</v>
      </c>
      <c r="F11" s="2" t="s">
        <v>130</v>
      </c>
    </row>
  </sheetData>
  <autoFilter ref="A1:F11"/>
  <conditionalFormatting sqref="F2:F1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5" min="4" style="0" width="12"/>
    <col collapsed="false" customWidth="true" hidden="false" outlineLevel="0" max="7" min="6" style="0" width="4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304</v>
      </c>
      <c r="B1" s="1" t="s">
        <v>262</v>
      </c>
      <c r="C1" s="1" t="s">
        <v>305</v>
      </c>
      <c r="D1" s="1" t="s">
        <v>306</v>
      </c>
      <c r="E1" s="1" t="s">
        <v>307</v>
      </c>
      <c r="F1" s="1" t="s">
        <v>3</v>
      </c>
      <c r="G1" s="1" t="s">
        <v>4</v>
      </c>
      <c r="H1" s="1" t="s">
        <v>264</v>
      </c>
    </row>
    <row r="2" customFormat="false" ht="35.05" hidden="false" customHeight="false" outlineLevel="0" collapsed="false">
      <c r="A2" s="2" t="s">
        <v>308</v>
      </c>
      <c r="B2" s="2" t="s">
        <v>47</v>
      </c>
      <c r="C2" s="2" t="s">
        <v>309</v>
      </c>
      <c r="D2" s="2" t="s">
        <v>225</v>
      </c>
      <c r="E2" s="2" t="s">
        <v>225</v>
      </c>
      <c r="F2" s="2" t="s">
        <v>310</v>
      </c>
      <c r="G2" s="2" t="s">
        <v>311</v>
      </c>
      <c r="H2" s="2" t="s">
        <v>312</v>
      </c>
    </row>
    <row r="3" customFormat="false" ht="35.05" hidden="false" customHeight="false" outlineLevel="0" collapsed="false">
      <c r="A3" s="2" t="s">
        <v>313</v>
      </c>
      <c r="B3" s="2" t="s">
        <v>314</v>
      </c>
      <c r="C3" s="2" t="s">
        <v>315</v>
      </c>
      <c r="D3" s="2" t="s">
        <v>239</v>
      </c>
      <c r="E3" s="2" t="s">
        <v>239</v>
      </c>
      <c r="F3" s="2" t="s">
        <v>316</v>
      </c>
      <c r="G3" s="2" t="s">
        <v>317</v>
      </c>
      <c r="H3" s="2" t="s">
        <v>312</v>
      </c>
    </row>
    <row r="5" customFormat="false" ht="15" hidden="false" customHeight="false" outlineLevel="0" collapsed="false">
      <c r="A5" s="3" t="s">
        <v>318</v>
      </c>
    </row>
  </sheetData>
  <autoFilter ref="A1:H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4" t="s">
        <v>319</v>
      </c>
      <c r="B1" s="4"/>
      <c r="C1" s="4"/>
    </row>
    <row r="2" customFormat="false" ht="15" hidden="false" customHeight="false" outlineLevel="0" collapsed="false">
      <c r="A2" s="5" t="s">
        <v>320</v>
      </c>
      <c r="B2" s="5" t="s">
        <v>321</v>
      </c>
    </row>
    <row r="3" customFormat="false" ht="15" hidden="false" customHeight="false" outlineLevel="0" collapsed="false">
      <c r="A3" s="6" t="s">
        <v>322</v>
      </c>
      <c r="B3" s="7" t="n">
        <f aca="false">COUNTA('Test Audit'!F2:F42)</f>
        <v>41</v>
      </c>
    </row>
    <row r="4" customFormat="false" ht="15" hidden="false" customHeight="false" outlineLevel="0" collapsed="false">
      <c r="A4" s="6" t="s">
        <v>323</v>
      </c>
      <c r="B4" s="7" t="n">
        <f aca="false">COUNTIF('Test Audit'!F2:F42,"Pass")</f>
        <v>29</v>
      </c>
    </row>
    <row r="5" customFormat="false" ht="15" hidden="false" customHeight="false" outlineLevel="0" collapsed="false">
      <c r="A5" s="6" t="s">
        <v>324</v>
      </c>
      <c r="B5" s="7" t="n">
        <f aca="false">COUNTIF('Test Audit'!F2:F42,"Fail")</f>
        <v>2</v>
      </c>
    </row>
    <row r="6" customFormat="false" ht="15" hidden="false" customHeight="false" outlineLevel="0" collapsed="false">
      <c r="A6" s="6" t="s">
        <v>325</v>
      </c>
      <c r="B6" s="7" t="n">
        <f aca="false">COUNTIF('Test Audit'!F2:F42,"Blocked")</f>
        <v>10</v>
      </c>
    </row>
    <row r="7" customFormat="false" ht="15" hidden="false" customHeight="false" outlineLevel="0" collapsed="false">
      <c r="A7" s="6" t="s">
        <v>326</v>
      </c>
      <c r="B7" s="7" t="n">
        <f aca="false">B4+B5</f>
        <v>31</v>
      </c>
    </row>
    <row r="8" customFormat="false" ht="15" hidden="false" customHeight="false" outlineLevel="0" collapsed="false">
      <c r="A8" s="6" t="s">
        <v>327</v>
      </c>
      <c r="B8" s="8" t="n">
        <f aca="false">IFERROR(B4/B7*100,0)</f>
        <v>93.5483870967742</v>
      </c>
    </row>
    <row r="9" customFormat="false" ht="15" hidden="false" customHeight="false" outlineLevel="0" collapsed="false">
      <c r="A9" s="6" t="s">
        <v>328</v>
      </c>
      <c r="B9" s="7" t="n">
        <f aca="false">COUNTIF('Automation Analysis'!F2:F17,"Yes")</f>
        <v>9</v>
      </c>
    </row>
    <row r="10" customFormat="false" ht="15" hidden="false" customHeight="false" outlineLevel="0" collapsed="false">
      <c r="A10" s="6" t="s">
        <v>329</v>
      </c>
      <c r="B10" s="7" t="n">
        <f aca="false">COUNTIF('Automation Analysis'!F2:F17,"No")</f>
        <v>7</v>
      </c>
    </row>
    <row r="11" customFormat="false" ht="15" hidden="false" customHeight="false" outlineLevel="0" collapsed="false">
      <c r="A11" s="6" t="s">
        <v>330</v>
      </c>
      <c r="B11" s="7" t="n">
        <f aca="false">COUNTA('Regression Suite'!A2:A11)</f>
        <v>10</v>
      </c>
    </row>
    <row r="12" customFormat="false" ht="15" hidden="false" customHeight="false" outlineLevel="0" collapsed="false">
      <c r="A12" s="6" t="s">
        <v>331</v>
      </c>
      <c r="B12" s="7" t="n">
        <f aca="false">COUNTA('Defect Analysis'!A2:A3)</f>
        <v>2</v>
      </c>
    </row>
    <row r="14" customFormat="false" ht="15" hidden="false" customHeight="true" outlineLevel="0" collapsed="false">
      <c r="A14" s="9" t="s">
        <v>332</v>
      </c>
      <c r="B14" s="9"/>
      <c r="C14" s="9"/>
    </row>
    <row r="16" customFormat="false" ht="15" hidden="false" customHeight="false" outlineLevel="0" collapsed="false">
      <c r="A16" s="10" t="s">
        <v>333</v>
      </c>
    </row>
    <row r="17" customFormat="false" ht="15" hidden="false" customHeight="false" outlineLevel="0" collapsed="false">
      <c r="A17" s="11" t="s">
        <v>262</v>
      </c>
      <c r="B17" s="11" t="s">
        <v>12</v>
      </c>
      <c r="C17" s="11" t="s">
        <v>334</v>
      </c>
    </row>
    <row r="18" customFormat="false" ht="15" hidden="false" customHeight="false" outlineLevel="0" collapsed="false">
      <c r="A18" s="7" t="s">
        <v>7</v>
      </c>
      <c r="B18" s="12" t="n">
        <f aca="false">COUNTIFS('Test Audit'!A2:A42,"Dashboard",'Test Audit'!F2:F42,"Pass")</f>
        <v>8</v>
      </c>
      <c r="C18" s="12" t="n">
        <f aca="false">COUNTIFS('Test Audit'!A2:A42,"Dashboard",'Test Audit'!F2:F42,"Fail")+COUNTIFS('Test Audit'!A2:A42,"Dashboard",'Test Audit'!F2:F42,"Blocked")</f>
        <v>0</v>
      </c>
    </row>
    <row r="19" customFormat="false" ht="15" hidden="false" customHeight="false" outlineLevel="0" collapsed="false">
      <c r="A19" s="7" t="s">
        <v>47</v>
      </c>
      <c r="B19" s="12" t="n">
        <f aca="false">COUNTIFS('Test Audit'!A2:A42,"Activity Details",'Test Audit'!F2:F42,"Pass")</f>
        <v>9</v>
      </c>
      <c r="C19" s="12" t="n">
        <f aca="false">COUNTIFS('Test Audit'!A2:A42,"Activity Details",'Test Audit'!F2:F42,"Fail")+COUNTIFS('Test Audit'!A2:A42,"Activity Details",'Test Audit'!F2:F42,"Blocked")</f>
        <v>2</v>
      </c>
    </row>
    <row r="20" customFormat="false" ht="15" hidden="false" customHeight="false" outlineLevel="0" collapsed="false">
      <c r="A20" s="7" t="s">
        <v>98</v>
      </c>
      <c r="B20" s="12" t="n">
        <f aca="false">COUNTIFS('Test Audit'!A2:A42,"Profile",'Test Audit'!F2:F42,"Pass")</f>
        <v>4</v>
      </c>
      <c r="C20" s="12" t="n">
        <f aca="false">COUNTIFS('Test Audit'!A2:A42,"Profile",'Test Audit'!F2:F42,"Fail")+COUNTIFS('Test Audit'!A2:A42,"Profile",'Test Audit'!F2:F42,"Blocked")</f>
        <v>0</v>
      </c>
    </row>
    <row r="21" customFormat="false" ht="15" hidden="false" customHeight="false" outlineLevel="0" collapsed="false">
      <c r="A21" s="7" t="s">
        <v>116</v>
      </c>
      <c r="B21" s="12" t="n">
        <f aca="false">COUNTIFS('Test Audit'!A2:A42,"Following",'Test Audit'!F2:F42,"Pass")</f>
        <v>2</v>
      </c>
      <c r="C21" s="12" t="n">
        <f aca="false">COUNTIFS('Test Audit'!A2:A42,"Following",'Test Audit'!F2:F42,"Fail")+COUNTIFS('Test Audit'!A2:A42,"Following",'Test Audit'!F2:F42,"Blocked")</f>
        <v>1</v>
      </c>
    </row>
    <row r="22" customFormat="false" ht="15" hidden="false" customHeight="false" outlineLevel="0" collapsed="false">
      <c r="A22" s="7" t="s">
        <v>132</v>
      </c>
      <c r="B22" s="12" t="n">
        <f aca="false">COUNTIFS('Test Audit'!A2:A42,"Subscription",'Test Audit'!F2:F42,"Pass")</f>
        <v>4</v>
      </c>
      <c r="C22" s="12" t="n">
        <f aca="false">COUNTIFS('Test Audit'!A2:A42,"Subscription",'Test Audit'!F2:F42,"Fail")+COUNTIFS('Test Audit'!A2:A42,"Subscription",'Test Audit'!F2:F42,"Blocked")</f>
        <v>1</v>
      </c>
    </row>
    <row r="23" customFormat="false" ht="15" hidden="false" customHeight="false" outlineLevel="0" collapsed="false">
      <c r="A23" s="7" t="s">
        <v>156</v>
      </c>
      <c r="B23" s="12" t="n">
        <f aca="false">COUNTIFS('Test Audit'!A2:A42,"Help/Glossary",'Test Audit'!F2:F42,"Pass")</f>
        <v>2</v>
      </c>
      <c r="C23" s="12" t="n">
        <f aca="false">COUNTIFS('Test Audit'!A2:A42,"Help/Glossary",'Test Audit'!F2:F42,"Fail")+COUNTIFS('Test Audit'!A2:A42,"Help/Glossary",'Test Audit'!F2:F42,"Blocked")</f>
        <v>0</v>
      </c>
    </row>
    <row r="24" customFormat="false" ht="15" hidden="false" customHeight="false" outlineLevel="0" collapsed="false">
      <c r="A24" s="7" t="s">
        <v>166</v>
      </c>
      <c r="B24" s="12" t="n">
        <f aca="false">COUNTIFS('Test Audit'!A2:A42,"Login",'Test Audit'!F2:F42,"Pass")</f>
        <v>0</v>
      </c>
      <c r="C24" s="12" t="n">
        <f aca="false">COUNTIFS('Test Audit'!A2:A42,"Login",'Test Audit'!F2:F42,"Fail")+COUNTIFS('Test Audit'!A2:A42,"Login",'Test Audit'!F2:F42,"Blocked")</f>
        <v>1</v>
      </c>
    </row>
    <row r="25" customFormat="false" ht="15" hidden="false" customHeight="false" outlineLevel="0" collapsed="false">
      <c r="A25" s="7" t="s">
        <v>171</v>
      </c>
      <c r="B25" s="12" t="n">
        <f aca="false">COUNTIFS('Test Audit'!A2:A42,"Registration",'Test Audit'!F2:F42,"Pass")</f>
        <v>0</v>
      </c>
      <c r="C25" s="12" t="n">
        <f aca="false">COUNTIFS('Test Audit'!A2:A42,"Registration",'Test Audit'!F2:F42,"Fail")+COUNTIFS('Test Audit'!A2:A42,"Registration",'Test Audit'!F2:F42,"Blocked")</f>
        <v>1</v>
      </c>
    </row>
    <row r="26" customFormat="false" ht="15" hidden="false" customHeight="false" outlineLevel="0" collapsed="false">
      <c r="A26" s="7" t="s">
        <v>176</v>
      </c>
      <c r="B26" s="12" t="n">
        <f aca="false">COUNTIFS('Test Audit'!A2:A42,"Explore",'Test Audit'!F2:F42,"Pass")</f>
        <v>0</v>
      </c>
      <c r="C26" s="12" t="n">
        <f aca="false">COUNTIFS('Test Audit'!A2:A42,"Explore",'Test Audit'!F2:F42,"Fail")+COUNTIFS('Test Audit'!A2:A42,"Explore",'Test Audit'!F2:F42,"Blocked")</f>
        <v>1</v>
      </c>
    </row>
    <row r="27" customFormat="false" ht="15" hidden="false" customHeight="false" outlineLevel="0" collapsed="false">
      <c r="A27" s="7" t="s">
        <v>181</v>
      </c>
      <c r="B27" s="12" t="n">
        <f aca="false">COUNTIFS('Test Audit'!A2:A42,"Routes",'Test Audit'!F2:F42,"Pass")</f>
        <v>0</v>
      </c>
      <c r="C27" s="12" t="n">
        <f aca="false">COUNTIFS('Test Audit'!A2:A42,"Routes",'Test Audit'!F2:F42,"Fail")+COUNTIFS('Test Audit'!A2:A42,"Routes",'Test Audit'!F2:F42,"Blocked")</f>
        <v>1</v>
      </c>
    </row>
    <row r="28" customFormat="false" ht="15" hidden="false" customHeight="false" outlineLevel="0" collapsed="false">
      <c r="A28" s="7" t="s">
        <v>186</v>
      </c>
      <c r="B28" s="12" t="n">
        <f aca="false">COUNTIFS('Test Audit'!A2:A42,"Clubs",'Test Audit'!F2:F42,"Pass")</f>
        <v>0</v>
      </c>
      <c r="C28" s="12" t="n">
        <f aca="false">COUNTIFS('Test Audit'!A2:A42,"Clubs",'Test Audit'!F2:F42,"Fail")+COUNTIFS('Test Audit'!A2:A42,"Clubs",'Test Audit'!F2:F42,"Blocked")</f>
        <v>1</v>
      </c>
    </row>
    <row r="29" customFormat="false" ht="15" hidden="false" customHeight="false" outlineLevel="0" collapsed="false">
      <c r="A29" s="7" t="s">
        <v>191</v>
      </c>
      <c r="B29" s="12" t="n">
        <f aca="false">COUNTIFS('Test Audit'!A2:A42,"Search",'Test Audit'!F2:F42,"Pass")</f>
        <v>0</v>
      </c>
      <c r="C29" s="12" t="n">
        <f aca="false">COUNTIFS('Test Audit'!A2:A42,"Search",'Test Audit'!F2:F42,"Fail")+COUNTIFS('Test Audit'!A2:A42,"Search",'Test Audit'!F2:F42,"Blocked")</f>
        <v>1</v>
      </c>
    </row>
    <row r="30" customFormat="false" ht="15" hidden="false" customHeight="false" outlineLevel="0" collapsed="false">
      <c r="A30" s="7" t="s">
        <v>196</v>
      </c>
      <c r="B30" s="12" t="n">
        <f aca="false">COUNTIFS('Test Audit'!A2:A42,"Settings",'Test Audit'!F2:F42,"Pass")</f>
        <v>0</v>
      </c>
      <c r="C30" s="12" t="n">
        <f aca="false">COUNTIFS('Test Audit'!A2:A42,"Settings",'Test Audit'!F2:F42,"Fail")+COUNTIFS('Test Audit'!A2:A42,"Settings",'Test Audit'!F2:F42,"Blocked")</f>
        <v>1</v>
      </c>
    </row>
    <row r="31" customFormat="false" ht="15" hidden="false" customHeight="false" outlineLevel="0" collapsed="false">
      <c r="A31" s="7" t="s">
        <v>201</v>
      </c>
      <c r="B31" s="12" t="n">
        <f aca="false">COUNTIFS('Test Audit'!A2:A42,"Logout",'Test Audit'!F2:F42,"Pass")</f>
        <v>0</v>
      </c>
      <c r="C31" s="12" t="n">
        <f aca="false">COUNTIFS('Test Audit'!A2:A42,"Logout",'Test Audit'!F2:F42,"Fail")+COUNTIFS('Test Audit'!A2:A42,"Logout",'Test Audit'!F2:F42,"Blocked")</f>
        <v>1</v>
      </c>
    </row>
  </sheetData>
  <mergeCells count="2">
    <mergeCell ref="A1:C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2026-08-25T05:06:22Z</dcterms:created>
  <dc:creator>openpyxl</dc:creator>
  <dc:description/>
  <dc:language>en-US</dc:language>
  <cp:lastModifiedBy/>
  <dcterms:modified xsi:type="dcterms:W3CDTF">2026-08-25T05:06:24Z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